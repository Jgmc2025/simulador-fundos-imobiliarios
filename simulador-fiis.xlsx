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mulador" sheetId="1" state="visible" r:id="rId3"/>
    <sheet name="Apoio" sheetId="2" state="visible" r:id="rId4"/>
  </sheets>
  <definedNames>
    <definedName function="false" hidden="false" name="anos" vbProcedure="false">Simulador!$C$7</definedName>
    <definedName function="false" hidden="false" name="aporte" vbProcedure="false">Simulador!$C$6</definedName>
    <definedName function="false" hidden="false" name="dividendos_mensais" vbProcedure="false">Simulador!$C$12</definedName>
    <definedName function="false" hidden="false" name="lista_perfis" vbProcedure="false">Apoio!$F$5:$F$7</definedName>
    <definedName function="false" hidden="false" name="patrimonio" vbProcedure="false">Simulador!$C$11</definedName>
    <definedName function="false" hidden="false" name="pct_aporte" vbProcedure="false">Simulador!$I$8</definedName>
    <definedName function="false" hidden="false" name="perfil_selecionado" vbProcedure="false">Simulador!$C$24</definedName>
    <definedName function="false" hidden="false" name="salario" vbProcedure="false">Simulador!$I$6</definedName>
    <definedName function="false" hidden="false" name="sugestao_aporte" vbProcedure="false">Simulador!$I$9</definedName>
    <definedName function="false" hidden="false" name="tabela_perfis" vbProcedure="false">Apoio!$A$5:$D$22</definedName>
    <definedName function="false" hidden="false" name="taxa_mensal" vbProcedure="false">Simulador!$I$7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<sst xmlns="http://schemas.openxmlformats.org/spreadsheetml/2006/main" count="85" uniqueCount="48">
  <si>
    <t xml:space="preserve">SIMULADOR DE FUNDOS IMOBILIÁRIOS  |  Do aporte mensal aos dividendos</t>
  </si>
  <si>
    <t xml:space="preserve">Legenda: células brancas com texto azul = você edita  |  células cinza = calculadas (não edite)</t>
  </si>
  <si>
    <t xml:space="preserve">1. Dados da simulação</t>
  </si>
  <si>
    <t xml:space="preserve">Configurações</t>
  </si>
  <si>
    <t xml:space="preserve">Quanto investir por mês (aporte)</t>
  </si>
  <si>
    <t xml:space="preserve">Salário mensal (exemplo)</t>
  </si>
  <si>
    <t xml:space="preserve">Por quantos anos</t>
  </si>
  <si>
    <t xml:space="preserve">Rendimento mensal da carteira</t>
  </si>
  <si>
    <t xml:space="preserve">Taxa de rendimento mensal</t>
  </si>
  <si>
    <t xml:space="preserve">% do salário para investir</t>
  </si>
  <si>
    <t xml:space="preserve">Sugestão de aporte mensal</t>
  </si>
  <si>
    <t xml:space="preserve">2. Resultados</t>
  </si>
  <si>
    <t xml:space="preserve">Valores de exemplo, não são recomendação de investimento.</t>
  </si>
  <si>
    <t xml:space="preserve">Quanto de patrimônio vai acumular</t>
  </si>
  <si>
    <t xml:space="preserve">Quanto vai receber de dividendos por mês</t>
  </si>
  <si>
    <t xml:space="preserve">Total aportado do próprio bolso (extra)</t>
  </si>
  <si>
    <t xml:space="preserve">3. Projeção por cenário (mesmo aporte e taxa)</t>
  </si>
  <si>
    <t xml:space="preserve">Prazo (anos)</t>
  </si>
  <si>
    <t xml:space="preserve">Patrimônio acumulado</t>
  </si>
  <si>
    <t xml:space="preserve">Dividendos mensais</t>
  </si>
  <si>
    <t xml:space="preserve">Total aportado</t>
  </si>
  <si>
    <t xml:space="preserve">Patrimônio com a sugestão de aporte</t>
  </si>
  <si>
    <t xml:space="preserve">4. Divisão do aporte por perfil de investidor</t>
  </si>
  <si>
    <t xml:space="preserve">Perfil de investidor (escolha na lista)</t>
  </si>
  <si>
    <t xml:space="preserve">Moderado</t>
  </si>
  <si>
    <t xml:space="preserve">Tipo de fundo imobiliário</t>
  </si>
  <si>
    <t xml:space="preserve">% do aporte</t>
  </si>
  <si>
    <t xml:space="preserve">Aporte mensal no tipo</t>
  </si>
  <si>
    <t xml:space="preserve">Patrimônio no prazo (item 1)</t>
  </si>
  <si>
    <t xml:space="preserve">Papel (CRI)</t>
  </si>
  <si>
    <t xml:space="preserve">Logística</t>
  </si>
  <si>
    <t xml:space="preserve">Lajes Corporativas</t>
  </si>
  <si>
    <t xml:space="preserve">Shoppings</t>
  </si>
  <si>
    <t xml:space="preserve">Fundo de Fundos (FoF)</t>
  </si>
  <si>
    <t xml:space="preserve">Híbrido / Desenvolvimento</t>
  </si>
  <si>
    <t xml:space="preserve">Total</t>
  </si>
  <si>
    <t xml:space="preserve">APOIO: tabela de perfis, tipos de fundo e percentuais</t>
  </si>
  <si>
    <t xml:space="preserve">Percentuais didáticos, definidos por mim como exemplo. Não são recomendação de investimento. Cada perfil deve somar 100%.</t>
  </si>
  <si>
    <t xml:space="preserve">Chave composta (Perfil|Tipo)</t>
  </si>
  <si>
    <t xml:space="preserve">Perfil</t>
  </si>
  <si>
    <t xml:space="preserve">Tipo de fundo</t>
  </si>
  <si>
    <t xml:space="preserve">Percentual</t>
  </si>
  <si>
    <t xml:space="preserve">Lista de perfis</t>
  </si>
  <si>
    <t xml:space="preserve">Soma</t>
  </si>
  <si>
    <t xml:space="preserve">Conferência</t>
  </si>
  <si>
    <t xml:space="preserve">Conservador</t>
  </si>
  <si>
    <t xml:space="preserve">Arrojado</t>
  </si>
  <si>
    <t xml:space="preserve">O PROCV usa a coluna A (chave composta) como coluna de busca.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</si>
</sst>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"/>
    <numFmt numFmtId="166" formatCode="0&quot; anos&quot;"/>
    <numFmt numFmtId="167" formatCode="0.00%"/>
    <numFmt numFmtId="168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9"/>
      <color rgb="FF1F5F4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5F4A"/>
        <bgColor rgb="FF595959"/>
      </patternFill>
    </fill>
    <fill>
      <patternFill patternType="solid">
        <fgColor rgb="FFFFFFFF"/>
        <bgColor rgb="FFE7E6E6"/>
      </patternFill>
    </fill>
    <fill>
      <patternFill patternType="solid">
        <fgColor rgb="FFE7E6E6"/>
        <bgColor rgb="FFDDEBE4"/>
      </patternFill>
    </fill>
    <fill>
      <patternFill patternType="solid">
        <fgColor rgb="FFDDEBE4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6" fontId="8" fillId="3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7" fontId="8" fillId="3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8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5F4A"/>
      <rgbColor rgb="FFC0C0C0"/>
      <rgbColor rgb="FF4F81BD"/>
      <rgbColor rgb="FF9999FF"/>
      <rgbColor rgb="FFC0504D"/>
      <rgbColor rgb="FFE7E6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BE4"/>
      <rgbColor rgb="FFFFFF99"/>
      <rgbColor rgb="FF99CCFF"/>
      <rgbColor rgb="FFFF99CC"/>
      <rgbColor rgb="FFCC99FF"/>
      <rgbColor rgb="FFFFCC99"/>
      <rgbColor rgb="FF3366FF"/>
      <rgbColor rgb="FF4BACC6"/>
      <rgbColor rgb="FF9BBB59"/>
      <rgbColor rgb="FFFFCC00"/>
      <rgbColor rgb="FFF79646"/>
      <rgbColor rgb="FFFF6600"/>
      <rgbColor rgb="FF8064A2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Divisão do aporte por tipo de fundo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Simulador!C26</c:f>
              <c:strCache>
                <c:ptCount val="1"/>
                <c:pt idx="0">
                  <c:v>% do aporte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Simulador!$B$27:$B$32</c:f>
              <c:strCache>
                <c:ptCount val="6"/>
                <c:pt idx="0">
                  <c:v>Papel (CRI)</c:v>
                </c:pt>
                <c:pt idx="1">
                  <c:v>Logística</c:v>
                </c:pt>
                <c:pt idx="2">
                  <c:v>Lajes Corporativas</c:v>
                </c:pt>
                <c:pt idx="3">
                  <c:v>Shoppings</c:v>
                </c:pt>
                <c:pt idx="4">
                  <c:v>Fundo de Fundos (FoF)</c:v>
                </c:pt>
                <c:pt idx="5">
                  <c:v>Híbrido / Desenvolvimento</c:v>
                </c:pt>
              </c:strCache>
            </c:strRef>
          </c:cat>
          <c:val>
            <c:numRef>
              <c:f>Simulador!$C$27:$C$32</c:f>
              <c:numCache>
                <c:formatCode>0.0%</c:formatCode>
                <c:ptCount val="6"/>
                <c:pt idx="0">
                  <c:v>0.25</c:v>
                </c:pt>
                <c:pt idx="1">
                  <c:v>0.2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11</xdr:row>
      <xdr:rowOff>0</xdr:rowOff>
    </xdr:from>
    <xdr:to>
      <xdr:col>11</xdr:col>
      <xdr:colOff>511560</xdr:colOff>
      <xdr:row>25</xdr:row>
      <xdr:rowOff>21960</xdr:rowOff>
    </xdr:to>
    <xdr:graphicFrame>
      <xdr:nvGraphicFramePr>
        <xdr:cNvPr id="0" name="Chart 1"/>
        <xdr:cNvGraphicFramePr/>
      </xdr:nvGraphicFramePr>
      <xdr:xfrm>
        <a:off x="9515520" y="226692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26"/>
    <col collapsed="false" customWidth="true" hidden="false" outlineLevel="0" max="7" min="7" style="0" width="3"/>
    <col collapsed="false" customWidth="true" hidden="false" outlineLevel="0" max="8" min="8" style="0" width="34"/>
    <col collapsed="false" customWidth="true" hidden="false" outlineLevel="0" max="9" min="9" style="0" width="18"/>
  </cols>
  <sheetData>
    <row r="2" customFormat="false" ht="21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21.75" hidden="false" customHeight="true" outlineLevel="0" collapsed="false">
      <c r="B3" s="1"/>
      <c r="C3" s="1"/>
      <c r="D3" s="1"/>
      <c r="E3" s="1"/>
      <c r="F3" s="1"/>
      <c r="G3" s="1"/>
      <c r="H3" s="1"/>
      <c r="I3" s="1"/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3" t="s">
        <v>2</v>
      </c>
      <c r="C5" s="4"/>
      <c r="H5" s="3" t="s">
        <v>3</v>
      </c>
      <c r="I5" s="4"/>
    </row>
    <row r="6" customFormat="false" ht="15" hidden="false" customHeight="false" outlineLevel="0" collapsed="false">
      <c r="B6" s="5" t="s">
        <v>4</v>
      </c>
      <c r="C6" s="6" t="n">
        <v>1000</v>
      </c>
      <c r="H6" s="5" t="s">
        <v>5</v>
      </c>
      <c r="I6" s="6" t="n">
        <v>5000</v>
      </c>
    </row>
    <row r="7" customFormat="false" ht="15" hidden="false" customHeight="false" outlineLevel="0" collapsed="false">
      <c r="B7" s="5" t="s">
        <v>6</v>
      </c>
      <c r="C7" s="7" t="n">
        <v>10</v>
      </c>
      <c r="H7" s="5" t="s">
        <v>7</v>
      </c>
      <c r="I7" s="8" t="n">
        <v>0.008</v>
      </c>
    </row>
    <row r="8" customFormat="false" ht="15" hidden="false" customHeight="false" outlineLevel="0" collapsed="false">
      <c r="B8" s="5" t="s">
        <v>8</v>
      </c>
      <c r="C8" s="9" t="n">
        <f aca="false">taxa_mensal</f>
        <v>0.008</v>
      </c>
      <c r="H8" s="5" t="s">
        <v>9</v>
      </c>
      <c r="I8" s="10" t="n">
        <v>0.3</v>
      </c>
    </row>
    <row r="9" customFormat="false" ht="15" hidden="false" customHeight="false" outlineLevel="0" collapsed="false">
      <c r="H9" s="5" t="s">
        <v>10</v>
      </c>
      <c r="I9" s="11" t="n">
        <f aca="false">salario*pct_aporte</f>
        <v>1500</v>
      </c>
    </row>
    <row r="10" customFormat="false" ht="15" hidden="false" customHeight="false" outlineLevel="0" collapsed="false">
      <c r="B10" s="3" t="s">
        <v>11</v>
      </c>
      <c r="C10" s="4"/>
      <c r="H10" s="12" t="s">
        <v>12</v>
      </c>
    </row>
    <row r="11" customFormat="false" ht="15" hidden="false" customHeight="false" outlineLevel="0" collapsed="false">
      <c r="B11" s="5" t="s">
        <v>13</v>
      </c>
      <c r="C11" s="11" t="n">
        <f aca="false">FV(taxa_mensal,anos*12,-aporte)</f>
        <v>200217.469409917</v>
      </c>
    </row>
    <row r="12" customFormat="false" ht="15" hidden="false" customHeight="false" outlineLevel="0" collapsed="false">
      <c r="B12" s="5" t="s">
        <v>14</v>
      </c>
      <c r="C12" s="11" t="n">
        <f aca="false">patrimonio*taxa_mensal</f>
        <v>1601.73975527933</v>
      </c>
    </row>
    <row r="13" customFormat="false" ht="15" hidden="false" customHeight="false" outlineLevel="0" collapsed="false">
      <c r="B13" s="5" t="s">
        <v>15</v>
      </c>
      <c r="C13" s="13" t="n">
        <f aca="false">aporte*anos*12</f>
        <v>120000</v>
      </c>
    </row>
    <row r="15" customFormat="false" ht="15" hidden="false" customHeight="false" outlineLevel="0" collapsed="false">
      <c r="B15" s="3" t="s">
        <v>16</v>
      </c>
      <c r="C15" s="4"/>
      <c r="D15" s="4"/>
      <c r="E15" s="4"/>
      <c r="F15" s="4"/>
    </row>
    <row r="16" customFormat="false" ht="30" hidden="false" customHeight="true" outlineLevel="0" collapsed="false">
      <c r="B16" s="14" t="s">
        <v>17</v>
      </c>
      <c r="C16" s="14" t="s">
        <v>18</v>
      </c>
      <c r="D16" s="14" t="s">
        <v>19</v>
      </c>
      <c r="E16" s="14" t="s">
        <v>20</v>
      </c>
      <c r="F16" s="14" t="s">
        <v>21</v>
      </c>
    </row>
    <row r="17" customFormat="false" ht="15" hidden="false" customHeight="false" outlineLevel="0" collapsed="false">
      <c r="B17" s="15" t="n">
        <v>2</v>
      </c>
      <c r="C17" s="13" t="n">
        <f aca="false">FV(taxa_mensal,B17*12,-aporte)</f>
        <v>26343.1551111194</v>
      </c>
      <c r="D17" s="13" t="n">
        <f aca="false">C17*taxa_mensal</f>
        <v>210.745240888955</v>
      </c>
      <c r="E17" s="13" t="n">
        <f aca="false">aporte*B17*12</f>
        <v>24000</v>
      </c>
      <c r="F17" s="13" t="n">
        <f aca="false">FV(taxa_mensal,B17*12,-sugestao_aporte)</f>
        <v>39514.7326666791</v>
      </c>
    </row>
    <row r="18" customFormat="false" ht="15" hidden="false" customHeight="false" outlineLevel="0" collapsed="false">
      <c r="B18" s="15" t="n">
        <v>5</v>
      </c>
      <c r="C18" s="13" t="n">
        <f aca="false">FV(taxa_mensal,B18*12,-aporte)</f>
        <v>76623.8668318798</v>
      </c>
      <c r="D18" s="13" t="n">
        <f aca="false">C18*taxa_mensal</f>
        <v>612.990934655038</v>
      </c>
      <c r="E18" s="13" t="n">
        <f aca="false">aporte*B18*12</f>
        <v>60000</v>
      </c>
      <c r="F18" s="13" t="n">
        <f aca="false">FV(taxa_mensal,B18*12,-sugestao_aporte)</f>
        <v>114935.80024782</v>
      </c>
    </row>
    <row r="19" customFormat="false" ht="15" hidden="false" customHeight="false" outlineLevel="0" collapsed="false">
      <c r="B19" s="15" t="n">
        <v>10</v>
      </c>
      <c r="C19" s="13" t="n">
        <f aca="false">FV(taxa_mensal,B19*12,-aporte)</f>
        <v>200217.469409917</v>
      </c>
      <c r="D19" s="13" t="n">
        <f aca="false">C19*taxa_mensal</f>
        <v>1601.73975527933</v>
      </c>
      <c r="E19" s="13" t="n">
        <f aca="false">aporte*B19*12</f>
        <v>120000</v>
      </c>
      <c r="F19" s="13" t="n">
        <f aca="false">FV(taxa_mensal,B19*12,-sugestao_aporte)</f>
        <v>300326.204114875</v>
      </c>
    </row>
    <row r="20" customFormat="false" ht="15" hidden="false" customHeight="false" outlineLevel="0" collapsed="false">
      <c r="B20" s="15" t="n">
        <v>20</v>
      </c>
      <c r="C20" s="13" t="n">
        <f aca="false">FV(taxa_mensal,B20*12,-aporte)</f>
        <v>721131.219275121</v>
      </c>
      <c r="D20" s="13" t="n">
        <f aca="false">C20*taxa_mensal</f>
        <v>5769.04975420097</v>
      </c>
      <c r="E20" s="13" t="n">
        <f aca="false">aporte*B20*12</f>
        <v>240000</v>
      </c>
      <c r="F20" s="13" t="n">
        <f aca="false">FV(taxa_mensal,B20*12,-sugestao_aporte)</f>
        <v>1081696.82891268</v>
      </c>
    </row>
    <row r="21" customFormat="false" ht="15" hidden="false" customHeight="false" outlineLevel="0" collapsed="false">
      <c r="B21" s="15" t="n">
        <v>30</v>
      </c>
      <c r="C21" s="13" t="n">
        <f aca="false">FV(taxa_mensal,B21*12,-aporte)</f>
        <v>2076413.23137106</v>
      </c>
      <c r="D21" s="13" t="n">
        <f aca="false">C21*taxa_mensal</f>
        <v>16611.3058509685</v>
      </c>
      <c r="E21" s="13" t="n">
        <f aca="false">aporte*B21*12</f>
        <v>360000</v>
      </c>
      <c r="F21" s="13" t="n">
        <f aca="false">FV(taxa_mensal,B21*12,-sugestao_aporte)</f>
        <v>3114619.84705659</v>
      </c>
    </row>
    <row r="23" customFormat="false" ht="15" hidden="false" customHeight="false" outlineLevel="0" collapsed="false">
      <c r="B23" s="3" t="s">
        <v>22</v>
      </c>
      <c r="C23" s="4"/>
      <c r="D23" s="4"/>
      <c r="E23" s="4"/>
    </row>
    <row r="24" customFormat="false" ht="15" hidden="false" customHeight="false" outlineLevel="0" collapsed="false">
      <c r="B24" s="5" t="s">
        <v>23</v>
      </c>
      <c r="C24" s="16" t="s">
        <v>24</v>
      </c>
    </row>
    <row r="26" customFormat="false" ht="30" hidden="false" customHeight="true" outlineLevel="0" collapsed="false">
      <c r="B26" s="14" t="s">
        <v>25</v>
      </c>
      <c r="C26" s="14" t="s">
        <v>26</v>
      </c>
      <c r="D26" s="14" t="s">
        <v>27</v>
      </c>
      <c r="E26" s="14" t="s">
        <v>28</v>
      </c>
    </row>
    <row r="27" customFormat="false" ht="15" hidden="false" customHeight="false" outlineLevel="0" collapsed="false">
      <c r="B27" s="5" t="s">
        <v>29</v>
      </c>
      <c r="C27" s="17" t="n">
        <f aca="false">VLOOKUP(perfil_selecionado&amp;"|"&amp;B27,tabela_perfis,4,FALSE())</f>
        <v>0.25</v>
      </c>
      <c r="D27" s="13" t="n">
        <f aca="false">aporte*C27</f>
        <v>250</v>
      </c>
      <c r="E27" s="13" t="n">
        <f aca="false">FV(taxa_mensal,anos*12,-D27)</f>
        <v>50054.3673524792</v>
      </c>
    </row>
    <row r="28" customFormat="false" ht="15" hidden="false" customHeight="false" outlineLevel="0" collapsed="false">
      <c r="B28" s="5" t="s">
        <v>30</v>
      </c>
      <c r="C28" s="17" t="n">
        <f aca="false">VLOOKUP(perfil_selecionado&amp;"|"&amp;B28,tabela_perfis,4,FALSE())</f>
        <v>0.2</v>
      </c>
      <c r="D28" s="13" t="n">
        <f aca="false">aporte*C28</f>
        <v>200</v>
      </c>
      <c r="E28" s="13" t="n">
        <f aca="false">FV(taxa_mensal,anos*12,-D28)</f>
        <v>40043.4938819833</v>
      </c>
    </row>
    <row r="29" customFormat="false" ht="15" hidden="false" customHeight="false" outlineLevel="0" collapsed="false">
      <c r="B29" s="5" t="s">
        <v>31</v>
      </c>
      <c r="C29" s="17" t="n">
        <f aca="false">VLOOKUP(perfil_selecionado&amp;"|"&amp;B29,tabela_perfis,4,FALSE())</f>
        <v>0.15</v>
      </c>
      <c r="D29" s="13" t="n">
        <f aca="false">aporte*C29</f>
        <v>150</v>
      </c>
      <c r="E29" s="13" t="n">
        <f aca="false">FV(taxa_mensal,anos*12,-D29)</f>
        <v>30032.6204114875</v>
      </c>
    </row>
    <row r="30" customFormat="false" ht="15" hidden="false" customHeight="false" outlineLevel="0" collapsed="false">
      <c r="B30" s="5" t="s">
        <v>32</v>
      </c>
      <c r="C30" s="17" t="n">
        <f aca="false">VLOOKUP(perfil_selecionado&amp;"|"&amp;B30,tabela_perfis,4,FALSE())</f>
        <v>0.15</v>
      </c>
      <c r="D30" s="13" t="n">
        <f aca="false">aporte*C30</f>
        <v>150</v>
      </c>
      <c r="E30" s="13" t="n">
        <f aca="false">FV(taxa_mensal,anos*12,-D30)</f>
        <v>30032.6204114875</v>
      </c>
    </row>
    <row r="31" customFormat="false" ht="15" hidden="false" customHeight="false" outlineLevel="0" collapsed="false">
      <c r="B31" s="5" t="s">
        <v>33</v>
      </c>
      <c r="C31" s="17" t="n">
        <f aca="false">VLOOKUP(perfil_selecionado&amp;"|"&amp;B31,tabela_perfis,4,FALSE())</f>
        <v>0.15</v>
      </c>
      <c r="D31" s="13" t="n">
        <f aca="false">aporte*C31</f>
        <v>150</v>
      </c>
      <c r="E31" s="13" t="n">
        <f aca="false">FV(taxa_mensal,anos*12,-D31)</f>
        <v>30032.6204114875</v>
      </c>
    </row>
    <row r="32" customFormat="false" ht="15" hidden="false" customHeight="false" outlineLevel="0" collapsed="false">
      <c r="B32" s="5" t="s">
        <v>34</v>
      </c>
      <c r="C32" s="17" t="n">
        <f aca="false">VLOOKUP(perfil_selecionado&amp;"|"&amp;B32,tabela_perfis,4,FALSE())</f>
        <v>0.1</v>
      </c>
      <c r="D32" s="13" t="n">
        <f aca="false">aporte*C32</f>
        <v>100</v>
      </c>
      <c r="E32" s="13" t="n">
        <f aca="false">FV(taxa_mensal,anos*12,-D32)</f>
        <v>20021.7469409917</v>
      </c>
    </row>
    <row r="33" customFormat="false" ht="15" hidden="false" customHeight="false" outlineLevel="0" collapsed="false">
      <c r="B33" s="18" t="s">
        <v>35</v>
      </c>
      <c r="C33" s="19" t="n">
        <f aca="false">SUM(C27:C32)</f>
        <v>1</v>
      </c>
      <c r="D33" s="11" t="n">
        <f aca="false">SUM(D27:D32)</f>
        <v>1000</v>
      </c>
      <c r="E33" s="11" t="n">
        <f aca="false">SUM(E27:E32)</f>
        <v>200217.469409917</v>
      </c>
    </row>
    <row r="34" customFormat="false" ht="15" hidden="false" customHeight="false" outlineLevel="0" collapsed="false">
      <c r="B34" s="20" t="str">
        <f aca="false">IF(ROUND(C33,6)=1,"OK: a divisão soma 100%","ATENÇÃO: a divisão não soma 100%")</f>
        <v>OK: a divisão soma 100%</v>
      </c>
    </row>
  </sheetData>
  <sheetProtection sheet="true"/>
  <mergeCells count="1">
    <mergeCell ref="B2:I3"/>
  </mergeCells>
  <dataValidations count="1">
    <dataValidation allowBlank="false" error="Escolha um perfil da lista." errorStyle="stop" errorTitle="Perfil inválido" operator="between" showDropDown="false" showErrorMessage="true" showInputMessage="false" sqref="C24" type="list">
      <formula1>lista_perfis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3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24"/>
  </cols>
  <sheetData>
    <row r="1" customFormat="false" ht="25.5" hidden="false" customHeight="true" outlineLevel="0" collapsed="false">
      <c r="A1" s="21" t="s">
        <v>36</v>
      </c>
      <c r="B1" s="21"/>
      <c r="C1" s="21"/>
      <c r="D1" s="21"/>
      <c r="E1" s="21"/>
      <c r="F1" s="21"/>
      <c r="G1" s="21"/>
      <c r="H1" s="21"/>
    </row>
    <row r="2" customFormat="false" ht="15" hidden="false" customHeight="false" outlineLevel="0" collapsed="false">
      <c r="A2" s="2" t="s">
        <v>37</v>
      </c>
    </row>
    <row r="4" customFormat="false" ht="15" hidden="false" customHeight="false" outlineLevel="0" collapsed="false">
      <c r="A4" s="14" t="s">
        <v>38</v>
      </c>
      <c r="B4" s="14" t="s">
        <v>39</v>
      </c>
      <c r="C4" s="14" t="s">
        <v>40</v>
      </c>
      <c r="D4" s="14" t="s">
        <v>41</v>
      </c>
      <c r="F4" s="14" t="s">
        <v>42</v>
      </c>
      <c r="G4" s="14" t="s">
        <v>43</v>
      </c>
      <c r="H4" s="14" t="s">
        <v>44</v>
      </c>
    </row>
    <row r="5" customFormat="false" ht="15" hidden="false" customHeight="false" outlineLevel="0" collapsed="false">
      <c r="A5" s="22" t="str">
        <f aca="false">B5&amp;"|"&amp;C5</f>
        <v>Conservador|Papel (CRI)</v>
      </c>
      <c r="B5" s="23" t="s">
        <v>45</v>
      </c>
      <c r="C5" s="23" t="s">
        <v>29</v>
      </c>
      <c r="D5" s="10" t="n">
        <v>0.4</v>
      </c>
      <c r="F5" s="23" t="s">
        <v>45</v>
      </c>
      <c r="G5" s="24" t="n">
        <f aca="false">SUMIF($B$5:$B$22,F5,$D$5:$D$22)</f>
        <v>1</v>
      </c>
      <c r="H5" s="25" t="str">
        <f aca="false">IF(ROUND(G5,6)=1,"OK (100%)","Revisar: não soma 100%")</f>
        <v>OK (100%)</v>
      </c>
    </row>
    <row r="6" customFormat="false" ht="15" hidden="false" customHeight="false" outlineLevel="0" collapsed="false">
      <c r="A6" s="22" t="str">
        <f aca="false">B6&amp;"|"&amp;C6</f>
        <v>Conservador|Logística</v>
      </c>
      <c r="B6" s="23" t="s">
        <v>45</v>
      </c>
      <c r="C6" s="23" t="s">
        <v>30</v>
      </c>
      <c r="D6" s="10" t="n">
        <v>0.25</v>
      </c>
      <c r="F6" s="23" t="s">
        <v>24</v>
      </c>
      <c r="G6" s="24" t="n">
        <f aca="false">SUMIF($B$5:$B$22,F6,$D$5:$D$22)</f>
        <v>1</v>
      </c>
      <c r="H6" s="25" t="str">
        <f aca="false">IF(ROUND(G6,6)=1,"OK (100%)","Revisar: não soma 100%")</f>
        <v>OK (100%)</v>
      </c>
    </row>
    <row r="7" customFormat="false" ht="15" hidden="false" customHeight="false" outlineLevel="0" collapsed="false">
      <c r="A7" s="22" t="str">
        <f aca="false">B7&amp;"|"&amp;C7</f>
        <v>Conservador|Lajes Corporativas</v>
      </c>
      <c r="B7" s="23" t="s">
        <v>45</v>
      </c>
      <c r="C7" s="23" t="s">
        <v>31</v>
      </c>
      <c r="D7" s="10" t="n">
        <v>0.1</v>
      </c>
      <c r="F7" s="23" t="s">
        <v>46</v>
      </c>
      <c r="G7" s="24" t="n">
        <f aca="false">SUMIF($B$5:$B$22,F7,$D$5:$D$22)</f>
        <v>1</v>
      </c>
      <c r="H7" s="25" t="str">
        <f aca="false">IF(ROUND(G7,6)=1,"OK (100%)","Revisar: não soma 100%")</f>
        <v>OK (100%)</v>
      </c>
    </row>
    <row r="8" customFormat="false" ht="15" hidden="false" customHeight="false" outlineLevel="0" collapsed="false">
      <c r="A8" s="22" t="str">
        <f aca="false">B8&amp;"|"&amp;C8</f>
        <v>Conservador|Shoppings</v>
      </c>
      <c r="B8" s="23" t="s">
        <v>45</v>
      </c>
      <c r="C8" s="23" t="s">
        <v>32</v>
      </c>
      <c r="D8" s="10" t="n">
        <v>0.1</v>
      </c>
    </row>
    <row r="9" customFormat="false" ht="15" hidden="false" customHeight="false" outlineLevel="0" collapsed="false">
      <c r="A9" s="22" t="str">
        <f aca="false">B9&amp;"|"&amp;C9</f>
        <v>Conservador|Fundo de Fundos (FoF)</v>
      </c>
      <c r="B9" s="23" t="s">
        <v>45</v>
      </c>
      <c r="C9" s="23" t="s">
        <v>33</v>
      </c>
      <c r="D9" s="10" t="n">
        <v>0.1</v>
      </c>
      <c r="F9" s="12" t="s">
        <v>47</v>
      </c>
    </row>
    <row r="10" customFormat="false" ht="15" hidden="false" customHeight="false" outlineLevel="0" collapsed="false">
      <c r="A10" s="22" t="str">
        <f aca="false">B10&amp;"|"&amp;C10</f>
        <v>Conservador|Híbrido / Desenvolvimento</v>
      </c>
      <c r="B10" s="23" t="s">
        <v>45</v>
      </c>
      <c r="C10" s="23" t="s">
        <v>34</v>
      </c>
      <c r="D10" s="10" t="n">
        <v>0.05</v>
      </c>
    </row>
    <row r="11" customFormat="false" ht="15" hidden="false" customHeight="false" outlineLevel="0" collapsed="false">
      <c r="A11" s="22" t="str">
        <f aca="false">B11&amp;"|"&amp;C11</f>
        <v>Moderado|Papel (CRI)</v>
      </c>
      <c r="B11" s="23" t="s">
        <v>24</v>
      </c>
      <c r="C11" s="23" t="s">
        <v>29</v>
      </c>
      <c r="D11" s="10" t="n">
        <v>0.25</v>
      </c>
    </row>
    <row r="12" customFormat="false" ht="15" hidden="false" customHeight="false" outlineLevel="0" collapsed="false">
      <c r="A12" s="22" t="str">
        <f aca="false">B12&amp;"|"&amp;C12</f>
        <v>Moderado|Logística</v>
      </c>
      <c r="B12" s="23" t="s">
        <v>24</v>
      </c>
      <c r="C12" s="23" t="s">
        <v>30</v>
      </c>
      <c r="D12" s="10" t="n">
        <v>0.2</v>
      </c>
    </row>
    <row r="13" customFormat="false" ht="15" hidden="false" customHeight="false" outlineLevel="0" collapsed="false">
      <c r="A13" s="22" t="str">
        <f aca="false">B13&amp;"|"&amp;C13</f>
        <v>Moderado|Lajes Corporativas</v>
      </c>
      <c r="B13" s="23" t="s">
        <v>24</v>
      </c>
      <c r="C13" s="23" t="s">
        <v>31</v>
      </c>
      <c r="D13" s="10" t="n">
        <v>0.15</v>
      </c>
    </row>
    <row r="14" customFormat="false" ht="15" hidden="false" customHeight="false" outlineLevel="0" collapsed="false">
      <c r="A14" s="22" t="str">
        <f aca="false">B14&amp;"|"&amp;C14</f>
        <v>Moderado|Shoppings</v>
      </c>
      <c r="B14" s="23" t="s">
        <v>24</v>
      </c>
      <c r="C14" s="23" t="s">
        <v>32</v>
      </c>
      <c r="D14" s="10" t="n">
        <v>0.15</v>
      </c>
    </row>
    <row r="15" customFormat="false" ht="15" hidden="false" customHeight="false" outlineLevel="0" collapsed="false">
      <c r="A15" s="22" t="str">
        <f aca="false">B15&amp;"|"&amp;C15</f>
        <v>Moderado|Fundo de Fundos (FoF)</v>
      </c>
      <c r="B15" s="23" t="s">
        <v>24</v>
      </c>
      <c r="C15" s="23" t="s">
        <v>33</v>
      </c>
      <c r="D15" s="10" t="n">
        <v>0.15</v>
      </c>
    </row>
    <row r="16" customFormat="false" ht="15" hidden="false" customHeight="false" outlineLevel="0" collapsed="false">
      <c r="A16" s="22" t="str">
        <f aca="false">B16&amp;"|"&amp;C16</f>
        <v>Moderado|Híbrido / Desenvolvimento</v>
      </c>
      <c r="B16" s="23" t="s">
        <v>24</v>
      </c>
      <c r="C16" s="23" t="s">
        <v>34</v>
      </c>
      <c r="D16" s="10" t="n">
        <v>0.1</v>
      </c>
    </row>
    <row r="17" customFormat="false" ht="15" hidden="false" customHeight="false" outlineLevel="0" collapsed="false">
      <c r="A17" s="22" t="str">
        <f aca="false">B17&amp;"|"&amp;C17</f>
        <v>Arrojado|Papel (CRI)</v>
      </c>
      <c r="B17" s="23" t="s">
        <v>46</v>
      </c>
      <c r="C17" s="23" t="s">
        <v>29</v>
      </c>
      <c r="D17" s="10" t="n">
        <v>0.1</v>
      </c>
    </row>
    <row r="18" customFormat="false" ht="15" hidden="false" customHeight="false" outlineLevel="0" collapsed="false">
      <c r="A18" s="22" t="str">
        <f aca="false">B18&amp;"|"&amp;C18</f>
        <v>Arrojado|Logística</v>
      </c>
      <c r="B18" s="23" t="s">
        <v>46</v>
      </c>
      <c r="C18" s="23" t="s">
        <v>30</v>
      </c>
      <c r="D18" s="10" t="n">
        <v>0.2</v>
      </c>
    </row>
    <row r="19" customFormat="false" ht="15" hidden="false" customHeight="false" outlineLevel="0" collapsed="false">
      <c r="A19" s="22" t="str">
        <f aca="false">B19&amp;"|"&amp;C19</f>
        <v>Arrojado|Lajes Corporativas</v>
      </c>
      <c r="B19" s="23" t="s">
        <v>46</v>
      </c>
      <c r="C19" s="23" t="s">
        <v>31</v>
      </c>
      <c r="D19" s="10" t="n">
        <v>0.2</v>
      </c>
    </row>
    <row r="20" customFormat="false" ht="15" hidden="false" customHeight="false" outlineLevel="0" collapsed="false">
      <c r="A20" s="22" t="str">
        <f aca="false">B20&amp;"|"&amp;C20</f>
        <v>Arrojado|Shoppings</v>
      </c>
      <c r="B20" s="23" t="s">
        <v>46</v>
      </c>
      <c r="C20" s="23" t="s">
        <v>32</v>
      </c>
      <c r="D20" s="10" t="n">
        <v>0.2</v>
      </c>
    </row>
    <row r="21" customFormat="false" ht="15" hidden="false" customHeight="false" outlineLevel="0" collapsed="false">
      <c r="A21" s="22" t="str">
        <f aca="false">B21&amp;"|"&amp;C21</f>
        <v>Arrojado|Fundo de Fundos (FoF)</v>
      </c>
      <c r="B21" s="23" t="s">
        <v>46</v>
      </c>
      <c r="C21" s="23" t="s">
        <v>33</v>
      </c>
      <c r="D21" s="10" t="n">
        <v>0.1</v>
      </c>
    </row>
    <row r="22" customFormat="false" ht="15" hidden="false" customHeight="false" outlineLevel="0" collapsed="false">
      <c r="A22" s="22" t="str">
        <f aca="false">B22&amp;"|"&amp;C22</f>
        <v>Arrojado|Híbrido / Desenvolvimento</v>
      </c>
      <c r="B22" s="23" t="s">
        <v>46</v>
      </c>
      <c r="C22" s="23" t="s">
        <v>34</v>
      </c>
      <c r="D22" s="10" t="n">
        <v>0.2</v>
      </c>
    </row>
  </sheetData>
  <sheetProtection sheet="true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2026-10-07T17:58:20Z</dcterms:created>
  <dc:creator>openpyxl</dc:creator>
  <dc:description/>
  <dc:language>en-US</dc:language>
  <cp:lastModifiedBy/>
  <dcterms:modified xsi:type="dcterms:W3CDTF">2026-10-07T17:58:21Z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